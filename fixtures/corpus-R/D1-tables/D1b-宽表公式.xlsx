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量价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8" customWidth="1" min="4" max="4"/>
    <col width="8" customWidth="1" min="5" max="5"/>
    <col width="14" customWidth="1" min="6" max="6"/>
  </cols>
  <sheetData>
    <row r="1">
      <c r="A1" s="1" t="inlineStr">
        <is>
          <t>量价汇总表（示例——公式与合并区结构测试件）</t>
        </is>
      </c>
    </row>
    <row r="2">
      <c r="A2" s="2" t="inlineStr">
        <is>
          <t>序号</t>
        </is>
      </c>
      <c r="B2" s="2" t="inlineStr">
        <is>
          <t>分类</t>
        </is>
      </c>
      <c r="C2" s="2" t="inlineStr">
        <is>
          <t>项目</t>
        </is>
      </c>
      <c r="D2" s="2" t="inlineStr">
        <is>
          <t>单位</t>
        </is>
      </c>
      <c r="E2" s="2" t="inlineStr">
        <is>
          <t>数量</t>
        </is>
      </c>
      <c r="F2" s="2" t="inlineStr">
        <is>
          <t>合价（元）</t>
        </is>
      </c>
    </row>
    <row r="3">
      <c r="A3" t="n">
        <v>1</v>
      </c>
      <c r="B3" t="inlineStr">
        <is>
          <t>布线材料</t>
        </is>
      </c>
      <c r="C3" t="inlineStr">
        <is>
          <t>六类网线（示例）</t>
        </is>
      </c>
      <c r="D3" t="inlineStr">
        <is>
          <t>箱</t>
        </is>
      </c>
      <c r="E3" t="n">
        <v>120</v>
      </c>
      <c r="F3">
        <f>E3*620</f>
        <v/>
      </c>
    </row>
    <row r="4">
      <c r="A4" t="n">
        <v>2</v>
      </c>
      <c r="C4" t="inlineStr">
        <is>
          <t>光缆（示例）</t>
        </is>
      </c>
      <c r="D4" t="inlineStr">
        <is>
          <t>米</t>
        </is>
      </c>
      <c r="E4" t="n">
        <v>2000</v>
      </c>
      <c r="F4">
        <f>E4*18</f>
        <v/>
      </c>
    </row>
    <row r="5">
      <c r="A5" t="n">
        <v>3</v>
      </c>
      <c r="C5" t="inlineStr">
        <is>
          <t>配线架（示例）</t>
        </is>
      </c>
      <c r="D5" t="inlineStr">
        <is>
          <t>个</t>
        </is>
      </c>
      <c r="E5" t="n">
        <v>24</v>
      </c>
      <c r="F5">
        <f>E5*480</f>
        <v/>
      </c>
    </row>
    <row r="6">
      <c r="A6" t="n">
        <v>4</v>
      </c>
      <c r="B6" t="inlineStr">
        <is>
          <t>网络模块</t>
        </is>
      </c>
      <c r="C6" t="inlineStr">
        <is>
          <t>接入交换机（示例）</t>
        </is>
      </c>
      <c r="D6" t="inlineStr">
        <is>
          <t>台</t>
        </is>
      </c>
      <c r="E6" t="n">
        <v>12</v>
      </c>
      <c r="F6">
        <f>E6*23500</f>
        <v/>
      </c>
    </row>
    <row r="7">
      <c r="A7" t="n">
        <v>5</v>
      </c>
      <c r="C7" t="inlineStr">
        <is>
          <t>核心交换机（示例）</t>
        </is>
      </c>
      <c r="D7" t="inlineStr">
        <is>
          <t>台</t>
        </is>
      </c>
      <c r="E7" t="n">
        <v>2</v>
      </c>
      <c r="F7">
        <f>E7*185000</f>
        <v/>
      </c>
    </row>
    <row r="8">
      <c r="A8" t="n">
        <v>6</v>
      </c>
      <c r="B8" t="inlineStr">
        <is>
          <t>安全组件</t>
        </is>
      </c>
      <c r="C8" t="inlineStr">
        <is>
          <t>防火墙（示例）</t>
        </is>
      </c>
      <c r="D8" t="inlineStr">
        <is>
          <t>台</t>
        </is>
      </c>
      <c r="E8" t="n">
        <v>2</v>
      </c>
      <c r="F8">
        <f>E8*156000</f>
        <v/>
      </c>
    </row>
    <row r="9">
      <c r="A9" t="n">
        <v>7</v>
      </c>
      <c r="C9" t="inlineStr">
        <is>
          <t>行为管理（示例）</t>
        </is>
      </c>
      <c r="D9" t="inlineStr">
        <is>
          <t>台</t>
        </is>
      </c>
      <c r="E9" t="n">
        <v>1</v>
      </c>
      <c r="F9">
        <f>E9*45000</f>
        <v/>
      </c>
    </row>
    <row r="10">
      <c r="A10" t="n">
        <v>8</v>
      </c>
      <c r="B10" t="inlineStr">
        <is>
          <t>机房材料</t>
        </is>
      </c>
      <c r="C10" t="inlineStr">
        <is>
          <t>UPS 电池（示例）</t>
        </is>
      </c>
      <c r="D10" t="inlineStr">
        <is>
          <t>节</t>
        </is>
      </c>
      <c r="E10" t="n">
        <v>80</v>
      </c>
      <c r="F10">
        <f>E10*1250</f>
        <v/>
      </c>
    </row>
    <row r="11">
      <c r="A11" t="n">
        <v>9</v>
      </c>
      <c r="C11" t="inlineStr">
        <is>
          <t>空调冷媒（示例）</t>
        </is>
      </c>
      <c r="D11" t="inlineStr">
        <is>
          <t>kg</t>
        </is>
      </c>
      <c r="E11" t="n">
        <v>60</v>
      </c>
      <c r="F11">
        <f>E11*260</f>
        <v/>
      </c>
    </row>
    <row r="12">
      <c r="A12" t="n">
        <v>10</v>
      </c>
      <c r="B12" t="inlineStr">
        <is>
          <t>施工辅材</t>
        </is>
      </c>
      <c r="C12" t="inlineStr">
        <is>
          <t>桥架（示例）</t>
        </is>
      </c>
      <c r="D12" t="inlineStr">
        <is>
          <t>米</t>
        </is>
      </c>
      <c r="E12" t="n">
        <v>850</v>
      </c>
      <c r="F12">
        <f>E12*42</f>
        <v/>
      </c>
    </row>
    <row r="13">
      <c r="A13" t="n">
        <v>11</v>
      </c>
      <c r="C13" t="inlineStr">
        <is>
          <t>线管（示例）</t>
        </is>
      </c>
      <c r="D13" t="inlineStr">
        <is>
          <t>米</t>
        </is>
      </c>
      <c r="E13" t="n">
        <v>1200</v>
      </c>
      <c r="F13">
        <f>E13*12</f>
        <v/>
      </c>
    </row>
    <row r="14">
      <c r="A14" t="n">
        <v>12</v>
      </c>
      <c r="C14" t="inlineStr">
        <is>
          <t>辅材杂项（示例）</t>
        </is>
      </c>
      <c r="D14" t="inlineStr">
        <is>
          <t>项</t>
        </is>
      </c>
      <c r="E14" t="n">
        <v>1</v>
      </c>
      <c r="F14">
        <f>E14*38000</f>
        <v/>
      </c>
    </row>
    <row r="15">
      <c r="E15" s="3" t="inlineStr">
        <is>
          <t>合计</t>
        </is>
      </c>
      <c r="F15" s="3">
        <f>SUM(F3:F14)</f>
        <v/>
      </c>
    </row>
  </sheetData>
  <mergeCells count="6">
    <mergeCell ref="B12:B14"/>
    <mergeCell ref="A1:F1"/>
    <mergeCell ref="B8:B9"/>
    <mergeCell ref="B3:B5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ai-bid-research fixture</dc:creator>
  <cp:lastModifiedBy>ai-bid-research fixture</cp:lastModifiedBy>
  <dcterms:created xsi:type="dcterms:W3CDTF">2026-10-16T09:00:00Z</dcterms:created>
  <dcterms:modified xsi:type="dcterms:W3CDTF">2026-10-16T09:00:00Z</dcterms:modified>
</cp:coreProperties>
</file>